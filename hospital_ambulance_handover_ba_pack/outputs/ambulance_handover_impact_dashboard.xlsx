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4ebc11213f4f90" /></Relationships>
</file>

<file path=xl/workbook.xml><?xml version="1.0" encoding="utf-8"?>
<x:workbook xmlns:x="http://schemas.openxmlformats.org/spreadsheetml/2006/main">
  <x:sheets>
    <x:sheet xmlns:r="http://schemas.openxmlformats.org/officeDocument/2006/relationships" name="Impact Dashboard" sheetId="1" r:id="Ra320b23264dd4ddc"/>
    <x:sheet xmlns:r="http://schemas.openxmlformats.org/officeDocument/2006/relationships" name="KPI Data" sheetId="2" r:id="R219a52a2a89046d4"/>
    <x:sheet xmlns:r="http://schemas.openxmlformats.org/officeDocument/2006/relationships" name="Feedback Data" sheetId="3" r:id="R0fe478e7d9c64145"/>
    <x:sheet xmlns:r="http://schemas.openxmlformats.org/officeDocument/2006/relationships" name="Codebook" sheetId="4" r:id="Rf2ab7d2f699141e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0"/>
    <x:numFmt numFmtId="203" formatCode="0.0"/>
  </x:numFmts>
  <x:fonts count="10">
    <x:font>
      <x:sz val="11"/>
      <x:name val="Carlito"/>
    </x:font>
    <x:font>
      <x:b/>
      <x:sz val="11"/>
      <x:color rgb="FFFFFFFF"/>
      <x:name val="Carlito"/>
    </x:font>
    <x:font>
      <x:b/>
      <x:sz val="18"/>
      <x:color rgb="FFFFFFFF"/>
      <x:name val="Carlito"/>
    </x:font>
    <x:font>
      <x:i/>
      <x:sz val="10"/>
      <x:color rgb="FF374151"/>
      <x:name val="Carlito"/>
    </x:font>
    <x:font>
      <x:b/>
      <x:sz val="9"/>
      <x:color rgb="FFB45309"/>
      <x:name val="Carlito"/>
    </x:font>
    <x:font>
      <x:b/>
      <x:sz val="11"/>
      <x:name val="Carlito"/>
    </x:font>
    <x:font>
      <x:b/>
      <x:sz val="11"/>
      <x:color rgb="FF0F766E"/>
      <x:name val="Carlito"/>
    </x:font>
    <x:font>
      <x:b/>
      <x:sz val="10"/>
      <x:color rgb="FFFFFFFF"/>
      <x:name val="Arial"/>
    </x:font>
    <x:font>
      <x:b/>
      <x:sz val="18"/>
      <x:color rgb="FFFFFFFF"/>
      <x:name val="Arial"/>
    </x:font>
    <x:font>
      <x:i/>
      <x:sz val="10"/>
      <x:color rgb="FF374151"/>
      <x:name val="Arial"/>
    </x:font>
  </x:fonts>
  <x:fills count="8">
    <x:fill>
      <x:patternFill patternType="none"/>
    </x:fill>
    <x:fill>
      <x:patternFill patternType="gray125"/>
    </x:fill>
    <x:fill>
      <x:patternFill patternType="solid">
        <x:fgColor rgb="FF1F6F8B"/>
      </x:patternFill>
    </x:fill>
    <x:fill>
      <x:patternFill patternType="solid">
        <x:fgColor rgb="FF164E63"/>
      </x:patternFill>
    </x:fill>
    <x:fill>
      <x:patternFill patternType="solid">
        <x:fgColor rgb="FFEAF4F2"/>
      </x:patternFill>
    </x:fill>
    <x:fill>
      <x:patternFill patternType="solid">
        <x:fgColor rgb="FFFFF7ED"/>
      </x:patternFill>
    </x:fill>
    <x:fill>
      <x:patternFill patternType="solid">
        <x:fgColor rgb="FFF3F4F6"/>
      </x:patternFill>
    </x:fill>
    <x:fill>
      <x:patternFill patternType="solid">
        <x:fgColor rgb="FFF3F7FA"/>
      </x:patternFill>
    </x:fill>
  </x:fills>
  <x:borders count="10">
    <x:border/>
    <x:border>
      <x:left style="thin">
        <x:color rgb="FFD1D5DB"/>
      </x:left>
      <x:right style="thin">
        <x:color rgb="FFD1D5DB"/>
      </x:right>
      <x:top style="thin">
        <x:color rgb="FFD1D5DB"/>
      </x:top>
      <x:bottom style="thin">
        <x:color rgb="FFD1D5DB"/>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s>
  <x:cellStyleXfs count="1">
    <x:xf numFmtId="0" fontId="0" fillId="0" borderId="0"/>
  </x:cellStyleXfs>
  <x:cellXfs count="7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x:xf numFmtId="200" fontId="0" fillId="0" borderId="1" xfId="0" applyNumberFormat="1" applyFont="1" applyFill="1" applyBorder="1"/>
    <x:xf numFmtId="201" fontId="0" fillId="0" borderId="1" xfId="0" applyNumberFormat="1" applyFont="1" applyFill="1" applyBorder="1"/>
    <x:xf numFmtId="202" fontId="0" fillId="0"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1" fillId="2" borderId="0" xfId="0" applyNumberFormat="1" applyFont="1" applyFill="1" applyBorder="1" applyAlignment="1">
      <x:alignment horizontal="left"/>
    </x:xf>
    <x:xf numFmtId="0" fontId="0"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0" borderId="1" xfId="0" applyNumberFormat="1" applyFont="1" applyFill="1" applyBorder="1"/>
    <x:xf numFmtId="203" fontId="0" fillId="0" borderId="1" xfId="0" applyNumberFormat="1" applyFont="1" applyFill="1" applyBorder="1"/>
    <x:xf numFmtId="0" fontId="0" fillId="4" borderId="1" xfId="0" applyNumberFormat="1" applyFont="1" applyFill="1" applyBorder="1"/>
    <x:xf numFmtId="0" fontId="6" fillId="4" borderId="1" xfId="0" applyNumberFormat="1" applyFont="1" applyFill="1" applyBorder="1"/>
    <x:xf numFmtId="0" fontId="6" fillId="4" borderId="1" xfId="0" applyNumberFormat="1" applyFont="1" applyFill="1" applyBorder="1" applyAlignment="1">
      <x:alignment horizontal="center"/>
    </x:xf>
    <x:xf numFmtId="0" fontId="0" fillId="0" borderId="1" xfId="0" applyNumberFormat="1" applyFont="1" applyFill="1" applyBorder="1" applyAlignment="1">
      <x:alignment wrapText="1"/>
    </x:xf>
    <x:xf numFmtId="0" fontId="0" fillId="7" borderId="0" xfId="0" applyNumberFormat="1" applyFont="1" applyFill="1" applyBorder="1"/>
    <x:xf numFmtId="0" fontId="0" fillId="7" borderId="2" xfId="0" applyNumberFormat="1" applyFont="1" applyFill="1" applyBorder="1"/>
    <x:xf numFmtId="0" fontId="0" fillId="7" borderId="3" xfId="0" applyNumberFormat="1" applyFont="1" applyFill="1" applyBorder="1"/>
    <x:xf numFmtId="0" fontId="0" fillId="7" borderId="4" xfId="0" applyNumberFormat="1" applyFont="1" applyFill="1" applyBorder="1"/>
    <x:xf numFmtId="0" fontId="0" fillId="7" borderId="5" xfId="0" applyNumberFormat="1" applyFont="1" applyFill="1" applyBorder="1"/>
    <x:xf numFmtId="0" fontId="0" fillId="7" borderId="6" xfId="0" applyNumberFormat="1" applyFont="1" applyFill="1" applyBorder="1"/>
    <x:xf numFmtId="0" fontId="0" fillId="7" borderId="7" xfId="0" applyNumberFormat="1" applyFont="1" applyFill="1" applyBorder="1"/>
    <x:xf numFmtId="0" fontId="0" fillId="7" borderId="8" xfId="0" applyNumberFormat="1" applyFont="1" applyFill="1" applyBorder="1"/>
    <x:xf numFmtId="0" fontId="0" fillId="7" borderId="9" xfId="0" applyNumberFormat="1" applyFont="1" applyFill="1" applyBorder="1"/>
    <x:xf numFmtId="0" fontId="0" fillId="7" borderId="2" xfId="0" applyNumberFormat="1" applyFont="1" applyFill="1" applyBorder="1" applyAlignment="1">
      <x:alignment wrapText="1"/>
    </x:xf>
    <x:xf numFmtId="0" fontId="0" fillId="7" borderId="3" xfId="0" applyNumberFormat="1" applyFont="1" applyFill="1" applyBorder="1" applyAlignment="1">
      <x:alignment wrapText="1"/>
    </x:xf>
    <x:xf numFmtId="0" fontId="0" fillId="7" borderId="4" xfId="0" applyNumberFormat="1" applyFont="1" applyFill="1" applyBorder="1" applyAlignment="1">
      <x:alignment wrapText="1"/>
    </x:xf>
    <x:xf numFmtId="0" fontId="0" fillId="7" borderId="5" xfId="0" applyNumberFormat="1" applyFont="1" applyFill="1" applyBorder="1" applyAlignment="1">
      <x:alignment wrapText="1"/>
    </x:xf>
    <x:xf numFmtId="0" fontId="0" fillId="7" borderId="0" xfId="0" applyNumberFormat="1" applyFont="1" applyFill="1" applyBorder="1" applyAlignment="1">
      <x:alignment wrapText="1"/>
    </x:xf>
    <x:xf numFmtId="0" fontId="0" fillId="7" borderId="6" xfId="0" applyNumberFormat="1" applyFont="1" applyFill="1" applyBorder="1" applyAlignment="1">
      <x:alignment wrapText="1"/>
    </x:xf>
    <x:xf numFmtId="0" fontId="0" fillId="7" borderId="7" xfId="0" applyNumberFormat="1" applyFont="1" applyFill="1" applyBorder="1" applyAlignment="1">
      <x:alignment wrapText="1"/>
    </x:xf>
    <x:xf numFmtId="0" fontId="0" fillId="7" borderId="8" xfId="0" applyNumberFormat="1" applyFont="1" applyFill="1" applyBorder="1" applyAlignment="1">
      <x:alignment wrapText="1"/>
    </x:xf>
    <x:xf numFmtId="0" fontId="0" fillId="7" borderId="9" xfId="0" applyNumberFormat="1" applyFont="1" applyFill="1" applyBorder="1" applyAlignment="1">
      <x:alignment wrapText="1"/>
    </x:xf>
    <x:xf numFmtId="0" fontId="0" fillId="7" borderId="2" xfId="0" applyNumberFormat="1" applyFont="1" applyFill="1" applyBorder="1" applyAlignment="1">
      <x:alignment vertical="top" wrapText="1"/>
    </x:xf>
    <x:xf numFmtId="0" fontId="0" fillId="7" borderId="3" xfId="0" applyNumberFormat="1" applyFont="1" applyFill="1" applyBorder="1" applyAlignment="1">
      <x:alignment vertical="top" wrapText="1"/>
    </x:xf>
    <x:xf numFmtId="0" fontId="0" fillId="7" borderId="4" xfId="0" applyNumberFormat="1" applyFont="1" applyFill="1" applyBorder="1" applyAlignment="1">
      <x:alignment vertical="top" wrapText="1"/>
    </x:xf>
    <x:xf numFmtId="0" fontId="0" fillId="7" borderId="5"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7" borderId="6" xfId="0" applyNumberFormat="1" applyFont="1" applyFill="1" applyBorder="1" applyAlignment="1">
      <x:alignment vertical="top" wrapText="1"/>
    </x:xf>
    <x:xf numFmtId="0" fontId="0" fillId="7" borderId="7" xfId="0" applyNumberFormat="1" applyFont="1" applyFill="1" applyBorder="1" applyAlignment="1">
      <x:alignment vertical="top" wrapText="1"/>
    </x:xf>
    <x:xf numFmtId="0" fontId="0" fillId="7" borderId="8" xfId="0" applyNumberFormat="1" applyFont="1" applyFill="1" applyBorder="1" applyAlignment="1">
      <x:alignment vertical="top" wrapText="1"/>
    </x:xf>
    <x:xf numFmtId="0" fontId="0" fillId="7" borderId="9" xfId="0" applyNumberFormat="1" applyFont="1" applyFill="1" applyBorder="1" applyAlignment="1">
      <x:alignment vertical="top" wrapText="1"/>
    </x:xf>
    <x:xf numFmtId="201" fontId="0" fillId="0" borderId="0" xfId="0" applyNumberFormat="1" applyFont="1" applyFill="1" applyBorder="1"/>
    <x:xf numFmtId="202" fontId="0" fillId="0" borderId="0" xfId="0" applyNumberFormat="1" applyFont="1" applyFill="1" applyBorder="1"/>
    <x:xf numFmtId="0" fontId="7" fillId="3" borderId="0" xfId="0" applyNumberFormat="1" applyFont="1" applyFill="1" applyBorder="1" applyAlignment="1">
      <x:alignment horizontal="center" vertical="center"/>
    </x:xf>
    <x:xf numFmtId="0" fontId="8" fillId="3" borderId="0" xfId="0" applyNumberFormat="1" applyFont="1" applyFill="1" applyBorder="1" applyAlignment="1">
      <x:alignment horizontal="center" vertical="center"/>
    </x:xf>
    <x:xf numFmtId="0" fontId="9" fillId="4" borderId="0" xfId="0" applyNumberFormat="1" applyFont="1" applyFill="1" applyBorder="1" applyAlignment="1">
      <x:alignment horizontal="center" vertical="center" wrapText="1"/>
    </x:xf>
    <x:xf numFmtId="0" fontId="8" fillId="3"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5" fillId="6" borderId="1" xfId="0" applyNumberFormat="1" applyFont="1" applyFill="1" applyBorder="1" applyAlignment="1">
      <x:alignment wrapText="1"/>
    </x:xf>
    <x:xf numFmtId="0" fontId="5" fillId="0" borderId="1" xfId="0" applyNumberFormat="1" applyFont="1" applyFill="1" applyBorder="1" applyAlignment="1">
      <x:alignment wrapText="1"/>
    </x:xf>
    <x:xf numFmtId="203" fontId="0" fillId="0" borderId="1" xfId="0" applyNumberFormat="1" applyFont="1" applyFill="1" applyBorder="1" applyAlignment="1">
      <x:alignment wrapText="1"/>
    </x:xf>
    <x:xf numFmtId="0" fontId="6" fillId="4" borderId="1" xfId="0" applyNumberFormat="1" applyFont="1" applyFill="1" applyBorder="1" applyAlignment="1">
      <x:alignment horizontal="center" wrapText="1"/>
    </x:xf>
    <x:xf numFmtId="201" fontId="0" fillId="0" borderId="1" xfId="0" applyNumberFormat="1" applyFont="1" applyFill="1" applyBorder="1" applyAlignment="1">
      <x:alignment wrapText="1"/>
    </x:xf>
    <x:xf numFmtId="202"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5" fillId="6" borderId="0" xfId="0" applyNumberFormat="1" applyFont="1" applyFill="1" applyBorder="1" applyAlignment="1">
      <x:alignment wrapText="1"/>
    </x:xf>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01bc8aa42d54fb0" /><Relationship Type="http://schemas.openxmlformats.org/officeDocument/2006/relationships/theme" Target="/xl/theme/theme1.xml" Id="R56ccd6c4f1d94fdc" /><Relationship Type="http://schemas.openxmlformats.org/officeDocument/2006/relationships/sharedStrings" Target="/xl/sharedStrings.xml" Id="R7cb160893ce04264" /><Relationship Type="http://schemas.openxmlformats.org/officeDocument/2006/relationships/worksheet" Target="/xl/worksheets/sheet1.xml" Id="Ra320b23264dd4ddc" /><Relationship Type="http://schemas.openxmlformats.org/officeDocument/2006/relationships/worksheet" Target="/xl/worksheets/sheet2.xml" Id="R219a52a2a89046d4" /><Relationship Type="http://schemas.openxmlformats.org/officeDocument/2006/relationships/worksheet" Target="/xl/worksheets/sheet3.xml" Id="R0fe478e7d9c64145" /><Relationship Type="http://schemas.openxmlformats.org/officeDocument/2006/relationships/worksheet" Target="/xl/worksheets/sheet4.xml" Id="Rf2ab7d2f699141e2" /></Relationships>
</file>

<file path=xl/drawings/_rels/drawing1.xml.rels>&#65279;<?xml version="1.0" encoding="utf-8"?><Relationships xmlns="http://schemas.openxmlformats.org/package/2006/relationships"><Relationship Type="http://schemas.openxmlformats.org/officeDocument/2006/relationships/chart" Target="/xl/drawings/charts/chart1.xml" Id="R3dc8da80256c473c" /><Relationship Type="http://schemas.openxmlformats.org/officeDocument/2006/relationships/chart" Target="/xl/drawings/charts/chart2.xml" Id="R5c6b290b90fb4a7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Median handover time fell after launch</a:t>
            </a:r>
          </a:p>
        </c:rich>
      </c:tx>
      <c:overlay val="0"/>
    </c:title>
    <c:autoTitleDeleted val="0"/>
    <c:plotArea>
      <c:lineChart>
        <c:grouping val="standard"/>
        <c:ser>
          <c:idx val="0"/>
          <c:order val="0"/>
          <c:tx>
            <c:v>Median Time</c:v>
          </c:tx>
          <c:marker>
            <c:symbol val="none"/>
          </c:marker>
          <c:dLbls/>
          <c:cat>
            <c:strRef>
              <c:f>'Impact Dashboard'!$A$22:$A$28</c:f>
              <c:strCache>
                <c:ptCount val="0"/>
              </c:strCache>
            </c:strRef>
          </c:cat>
          <c:val>
            <c:numRef>
              <c:f>'Impact Dashboard'!$B$22:$B$28</c:f>
              <c:numCache>
                <c:formatCode>0</c:formatCode>
                <c:ptCount val="0"/>
              </c:numCache>
            </c:numRef>
          </c:val>
          <c:smooth val="0"/>
        </c:ser>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Incomplete records reduced</a:t>
            </a:r>
          </a:p>
        </c:rich>
      </c:tx>
      <c:overlay val="0"/>
    </c:title>
    <c:autoTitleDeleted val="0"/>
    <c:plotArea>
      <c:lineChart>
        <c:grouping val="standard"/>
        <c:ser>
          <c:idx val="0"/>
          <c:order val="0"/>
          <c:tx>
            <c:v>Incomplete Records</c:v>
          </c:tx>
          <c:marker>
            <c:symbol val="none"/>
          </c:marker>
          <c:dLbls/>
          <c:cat>
            <c:strRef>
              <c:f>'Impact Dashboard'!$G$22:$G$28</c:f>
              <c:strCache>
                <c:ptCount val="0"/>
              </c:strCache>
            </c:strRef>
          </c:cat>
          <c:val>
            <c:numRef>
              <c:f>'Impact Dashboard'!$H$22:$H$28</c:f>
              <c:numCache>
                <c:formatCode>0%</c:formatCode>
                <c:ptCount val="0"/>
              </c:numCache>
            </c:numRef>
          </c:val>
          <c:smooth val="0"/>
        </c:ser>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29</xdr:row>
      <xdr:rowOff>0</xdr:rowOff>
    </xdr:from>
    <xdr:to>
      <xdr:col>4</xdr:col>
      <xdr:colOff>0</xdr:colOff>
      <xdr:row>45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dc8da80256c473c"/>
        </a:graphicData>
      </a:graphic>
    </xdr:graphicFrame>
    <xdr:clientData/>
  </xdr:twoCellAnchor>
  <xdr:twoCellAnchor>
    <xdr:from>
      <xdr:col>4</xdr:col>
      <xdr:colOff>0</xdr:colOff>
      <xdr:row>29</xdr:row>
      <xdr:rowOff>0</xdr:rowOff>
    </xdr:from>
    <xdr:to>
      <xdr:col>8</xdr:col>
      <xdr:colOff>0</xdr:colOff>
      <xdr:row>45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c6b290b90fb4a7c"/>
        </a:graphicData>
      </a:graphic>
    </xdr:graphicFrame>
    <xdr:clientData/>
  </xdr:twoCellAnchor>
</xdr:wsDr>
</file>

<file path=xl/tables/table1.xml><?xml version="1.0" encoding="utf-8"?>
<x:table xmlns:x="http://schemas.openxmlformats.org/spreadsheetml/2006/main" id="1" name="KPIDataTable" displayName="KPIDataTable" ref="A1:H8" headerRowCount="1" totalsRowCount="0" totalsRowShown="0">
  <x:tableColumns count="8">
    <x:tableColumn id="1" name="Month"/>
    <x:tableColumn id="2" name="Phase"/>
    <x:tableColumn id="3" name="Ambulance Arrivals"/>
    <x:tableColumn id="4" name="Median Handover Time (min)"/>
    <x:tableColumn id="5" name="Within 15 Min Target"/>
    <x:tableColumn id="6" name="Incomplete Records"/>
    <x:tableColumn id="7" name="Duplicate Questioning"/>
    <x:tableColumn id="8" name="Escalations Within Target"/>
  </x:tableColumns>
  <x:tableStyleInfo name="TableStyleMedium2" showFirstColumn="0" showLastColumn="0" showRowStripes="1" showColumnStripes="0"/>
</x:table>
</file>

<file path=xl/tables/table2.xml><?xml version="1.0" encoding="utf-8"?>
<x:table xmlns:x="http://schemas.openxmlformats.org/spreadsheetml/2006/main" id="2" name="FeedbackDataTable" displayName="FeedbackDataTable" ref="A1:F21" headerRowCount="1" totalsRowCount="0" totalsRowShown="0">
  <x:tableColumns count="6">
    <x:tableColumn id="1" name="Month"/>
    <x:tableColumn id="2" name="Group"/>
    <x:tableColumn id="3" name="Responses"/>
    <x:tableColumn id="4" name="Satisfaction Score"/>
    <x:tableColumn id="5" name="Positive Sentiment"/>
    <x:tableColumn id="6" name="Top Them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1c83c46bcaf4169" /></Relationships>
</file>

<file path=xl/worksheets/_rels/sheet2.xml.rels>&#65279;<?xml version="1.0" encoding="utf-8"?><Relationships xmlns="http://schemas.openxmlformats.org/package/2006/relationships"><Relationship Type="http://schemas.openxmlformats.org/officeDocument/2006/relationships/table" Target="/xl/tables/table1.xml" Id="Rd4fe62b27e9347f9" /></Relationships>
</file>

<file path=xl/worksheets/_rels/sheet3.xml.rels>&#65279;<?xml version="1.0" encoding="utf-8"?><Relationships xmlns="http://schemas.openxmlformats.org/package/2006/relationships"><Relationship Type="http://schemas.openxmlformats.org/officeDocument/2006/relationships/table" Target="/xl/tables/table2.xml" Id="R77277399892e47d7" /></Relationships>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4" hidden="0" customWidth="1"/>
    <x:col min="3" max="3" width="14" hidden="0" customWidth="1"/>
    <x:col min="4" max="4" width="14" hidden="0" customWidth="1"/>
    <x:col min="5" max="5" width="14" hidden="0" customWidth="1"/>
    <x:col min="6" max="6" width="30.6299991607666" hidden="0" customWidth="1"/>
    <x:col min="7" max="7" width="15" hidden="0" customWidth="1"/>
    <x:col min="8" max="8" width="15" hidden="0" customWidth="1"/>
  </x:cols>
  <x:sheetData>
    <x:row r="1" ht="31.5" customHeight="1">
      <x:c r="A1" s="64" t="str">
        <x:v>Ambulance Handover Process Impact Dashboard</x:v>
      </x:c>
      <x:c r="B1" s="64" t="str">
        <x:v>Ambulance Handover Process Impact Dashboard</x:v>
      </x:c>
      <x:c r="C1" s="64" t="str">
        <x:v>Ambulance Handover Process Impact Dashboard</x:v>
      </x:c>
      <x:c r="D1" s="64" t="str">
        <x:v>Ambulance Handover Process Impact Dashboard</x:v>
      </x:c>
      <x:c r="E1" s="64" t="str">
        <x:v>Ambulance Handover Process Impact Dashboard</x:v>
      </x:c>
      <x:c r="F1" s="64" t="str">
        <x:v>Ambulance Handover Process Impact Dashboard</x:v>
      </x:c>
      <x:c r="G1" s="64" t="str">
        <x:v>Ambulance Handover Process Impact Dashboard</x:v>
      </x:c>
      <x:c r="H1" s="64" t="str">
        <x:v>Ambulance Handover Process Impact Dashboard</x:v>
      </x:c>
    </x:row>
    <x:row r="2" ht="22.5" customHeight="1">
      <x:c r="A2" s="63" t="str">
        <x:v>CR Allied Services Limited | Ambrose Alli University Health Center | Implementation proposal dashboard</x:v>
      </x:c>
      <x:c r="B2" s="63" t="str">
        <x:v>CR Allied Services Limited | Ambrose Alli University Health Center | Implementation proposal dashboard</x:v>
      </x:c>
      <x:c r="C2" s="63" t="str">
        <x:v>CR Allied Services Limited | Ambrose Alli University Health Center | Implementation proposal dashboard</x:v>
      </x:c>
      <x:c r="D2" s="63" t="str">
        <x:v>CR Allied Services Limited | Ambrose Alli University Health Center | Implementation proposal dashboard</x:v>
      </x:c>
      <x:c r="E2" s="63" t="str">
        <x:v>CR Allied Services Limited | Ambrose Alli University Health Center | Implementation proposal dashboard</x:v>
      </x:c>
      <x:c r="F2" s="63" t="str">
        <x:v>CR Allied Services Limited | Ambrose Alli University Health Center | Implementation proposal dashboard</x:v>
      </x:c>
      <x:c r="G2" s="63" t="str">
        <x:v>CR Allied Services Limited | Ambrose Alli University Health Center | Implementation proposal dashboard</x:v>
      </x:c>
      <x:c r="H2" s="63" t="str">
        <x:v>CR Allied Services Limited | Ambrose Alli University Health Center | Implementation proposal dashboard</x:v>
      </x:c>
    </x:row>
    <x:row r="3" ht="24" customHeight="1">
      <x:c r="A3" s="21" t="str">
        <x:v>Validation note: KPI figures require hospital data-owner review and approval before external circulation, executive sign-off, or procurement use.</x:v>
      </x:c>
      <x:c r="B3" s="21" t="str">
        <x:v>Validation note: KPI figures require hospital data-owner review and approval before external circulation, executive sign-off, or procurement use.</x:v>
      </x:c>
      <x:c r="C3" s="21" t="str">
        <x:v>Validation note: KPI figures require hospital data-owner review and approval before external circulation, executive sign-off, or procurement use.</x:v>
      </x:c>
      <x:c r="D3" s="21" t="str">
        <x:v>Validation note: KPI figures require hospital data-owner review and approval before external circulation, executive sign-off, or procurement use.</x:v>
      </x:c>
      <x:c r="E3" s="21" t="str">
        <x:v>Validation note: KPI figures require hospital data-owner review and approval before external circulation, executive sign-off, or procurement use.</x:v>
      </x:c>
      <x:c r="F3" s="21" t="str">
        <x:v>Validation note: KPI figures require hospital data-owner review and approval before external circulation, executive sign-off, or procurement use.</x:v>
      </x:c>
      <x:c r="G3" s="21" t="str">
        <x:v>Validation note: KPI figures require hospital data-owner review and approval before external circulation, executive sign-off, or procurement use.</x:v>
      </x:c>
      <x:c r="H3" s="21" t="str">
        <x:v>Validation note: KPI figures require hospital data-owner review and approval before external circulation, executive sign-off, or procurement use.</x:v>
      </x:c>
    </x:row>
    <x:row r="4">
      <x:c r="A4" s="65"/>
      <x:c r="B4" s="65"/>
      <x:c r="C4" s="65"/>
      <x:c r="D4" s="65"/>
      <x:c r="E4" s="65"/>
      <x:c r="F4" s="65"/>
      <x:c r="G4" s="65"/>
      <x:c r="H4" s="65"/>
    </x:row>
    <x:row r="5">
      <x:c r="A5" s="66" t="str">
        <x:v>Executive KPI summary</x:v>
      </x:c>
      <x:c r="B5" s="66" t="str">
        <x:v>Executive KPI summary</x:v>
      </x:c>
      <x:c r="C5" s="66" t="str">
        <x:v>Executive KPI summary</x:v>
      </x:c>
      <x:c r="D5" s="66" t="str">
        <x:v>Executive KPI summary</x:v>
      </x:c>
      <x:c r="E5" s="66" t="str">
        <x:v>Executive KPI summary</x:v>
      </x:c>
      <x:c r="F5" s="66" t="str">
        <x:v>Executive KPI summary</x:v>
      </x:c>
      <x:c r="G5" s="66" t="str">
        <x:v>Executive KPI summary</x:v>
      </x:c>
      <x:c r="H5" s="66" t="str">
        <x:v>Executive KPI summary</x:v>
      </x:c>
    </x:row>
    <x:row r="6">
      <x:c r="A6" s="67" t="str">
        <x:v>KPI</x:v>
      </x:c>
      <x:c r="B6" s="67" t="str">
        <x:v>Baseline Avg</x:v>
      </x:c>
      <x:c r="C6" s="67" t="str">
        <x:v>Post Avg</x:v>
      </x:c>
      <x:c r="D6" s="67" t="str">
        <x:v>Change</x:v>
      </x:c>
      <x:c r="E6" s="67" t="str">
        <x:v>Status</x:v>
      </x:c>
      <x:c r="F6" s="67" t="str">
        <x:v>Interpretation</x:v>
      </x:c>
      <x:c r="G6" s="65" t="str"/>
      <x:c r="H6" s="65" t="str"/>
    </x:row>
    <x:row r="7">
      <x:c r="A7" s="68" t="str">
        <x:v>Median handover time (min)</x:v>
      </x:c>
      <x:c r="B7" s="69" t="n">
        <x:f>AVERAGE('KPI Data'!D2:D4)</x:f>
        <x:v>24</x:v>
      </x:c>
      <x:c r="C7" s="69" t="n">
        <x:f>AVERAGE('KPI Data'!D6:D8)</x:f>
        <x:v>13.333333333333334</x:v>
      </x:c>
      <x:c r="D7" s="69" t="n">
        <x:f>C7-B7</x:f>
        <x:v>-10.666666666666666</x:v>
      </x:c>
      <x:c r="E7" s="70" t="str">
        <x:f>IF(C7&lt;B7,"Improved","Watch")</x:f>
        <x:v>Improved</x:v>
      </x:c>
      <x:c r="F7" s="31" t="str">
        <x:v>Lower is better</x:v>
      </x:c>
      <x:c r="G7" s="65" t="str"/>
      <x:c r="H7" s="65" t="str"/>
    </x:row>
    <x:row r="8">
      <x:c r="A8" s="68" t="str">
        <x:v>Within 15 min target</x:v>
      </x:c>
      <x:c r="B8" s="71" t="n">
        <x:f>AVERAGE('KPI Data'!E2:E4)</x:f>
        <x:v>0.5166666666666667</x:v>
      </x:c>
      <x:c r="C8" s="71" t="n">
        <x:f>AVERAGE('KPI Data'!E6:E8)</x:f>
        <x:v>0.8266666666666667</x:v>
      </x:c>
      <x:c r="D8" s="71" t="n">
        <x:f>C8-B8</x:f>
        <x:v>0.30999999999999994</x:v>
      </x:c>
      <x:c r="E8" s="70" t="str">
        <x:f>IF(C8&gt;B8,"Improved","Watch")</x:f>
        <x:v>Improved</x:v>
      </x:c>
      <x:c r="F8" s="31" t="str">
        <x:v>Higher is better</x:v>
      </x:c>
      <x:c r="G8" s="65" t="str"/>
      <x:c r="H8" s="65" t="str"/>
    </x:row>
    <x:row r="9">
      <x:c r="A9" s="68" t="str">
        <x:v>Incomplete records</x:v>
      </x:c>
      <x:c r="B9" s="71" t="n">
        <x:f>AVERAGE('KPI Data'!F2:F4)</x:f>
        <x:v>0.31666666666666665</x:v>
      </x:c>
      <x:c r="C9" s="71" t="n">
        <x:f>AVERAGE('KPI Data'!F6:F8)</x:f>
        <x:v>0.09000000000000001</x:v>
      </x:c>
      <x:c r="D9" s="71" t="n">
        <x:f>C9-B9</x:f>
        <x:v>-0.22666666666666663</x:v>
      </x:c>
      <x:c r="E9" s="70" t="str">
        <x:f>IF(C9&lt;B9,"Improved","Watch")</x:f>
        <x:v>Improved</x:v>
      </x:c>
      <x:c r="F9" s="31" t="str">
        <x:v>Lower is better</x:v>
      </x:c>
      <x:c r="G9" s="65" t="str"/>
      <x:c r="H9" s="65" t="str"/>
    </x:row>
    <x:row r="10">
      <x:c r="A10" s="68" t="str">
        <x:v>Duplicate questioning</x:v>
      </x:c>
      <x:c r="B10" s="71" t="n">
        <x:f>AVERAGE('KPI Data'!G2:G4)</x:f>
        <x:v>0.44333333333333336</x:v>
      </x:c>
      <x:c r="C10" s="71" t="n">
        <x:f>AVERAGE('KPI Data'!G6:G8)</x:f>
        <x:v>0.19333333333333333</x:v>
      </x:c>
      <x:c r="D10" s="71" t="n">
        <x:f>C10-B10</x:f>
        <x:v>-0.25</x:v>
      </x:c>
      <x:c r="E10" s="70" t="str">
        <x:f>IF(C10&lt;B10,"Improved","Watch")</x:f>
        <x:v>Improved</x:v>
      </x:c>
      <x:c r="F10" s="31" t="str">
        <x:v>Lower is better</x:v>
      </x:c>
      <x:c r="G10" s="65" t="str"/>
      <x:c r="H10" s="65" t="str"/>
    </x:row>
    <x:row r="11">
      <x:c r="A11" s="68" t="str">
        <x:v>Escalations within target</x:v>
      </x:c>
      <x:c r="B11" s="71" t="n">
        <x:f>AVERAGE('KPI Data'!H2:H4)</x:f>
        <x:v>0.5766666666666667</x:v>
      </x:c>
      <x:c r="C11" s="71" t="n">
        <x:f>AVERAGE('KPI Data'!H6:H8)</x:f>
        <x:v>0.89</x:v>
      </x:c>
      <x:c r="D11" s="71" t="n">
        <x:f>C11-B11</x:f>
        <x:v>0.31333333333333335</x:v>
      </x:c>
      <x:c r="E11" s="70" t="str">
        <x:f>IF(C11&gt;B11,"Improved","Watch")</x:f>
        <x:v>Improved</x:v>
      </x:c>
      <x:c r="F11" s="31" t="str">
        <x:v>Higher is better</x:v>
      </x:c>
      <x:c r="G11" s="65" t="str"/>
      <x:c r="H11" s="65" t="str"/>
    </x:row>
    <x:row r="12">
      <x:c r="A12" s="65"/>
      <x:c r="B12" s="65"/>
      <x:c r="C12" s="65"/>
      <x:c r="D12" s="65"/>
      <x:c r="E12" s="65"/>
      <x:c r="F12" s="65"/>
      <x:c r="G12" s="65"/>
      <x:c r="H12" s="65"/>
    </x:row>
    <x:row r="13">
      <x:c r="A13" s="66" t="str">
        <x:v>Feedback pulse</x:v>
      </x:c>
      <x:c r="B13" s="66" t="str">
        <x:v>Feedback pulse</x:v>
      </x:c>
      <x:c r="C13" s="66" t="str">
        <x:v>Feedback pulse</x:v>
      </x:c>
      <x:c r="D13" s="66" t="str">
        <x:v>Feedback pulse</x:v>
      </x:c>
      <x:c r="E13" s="65"/>
      <x:c r="F13" s="66" t="str">
        <x:v>Business analyst impact statement</x:v>
      </x:c>
      <x:c r="G13" s="66" t="str">
        <x:v>Business analyst impact statement</x:v>
      </x:c>
      <x:c r="H13" s="66" t="str">
        <x:v>Business analyst impact statement</x:v>
      </x:c>
    </x:row>
    <x:row r="14">
      <x:c r="A14" s="67" t="str">
        <x:v>Metric</x:v>
      </x:c>
      <x:c r="B14" s="67" t="str">
        <x:v>Baseline Avg</x:v>
      </x:c>
      <x:c r="C14" s="67" t="str">
        <x:v>Post Avg</x:v>
      </x:c>
      <x:c r="D14" s="67" t="str">
        <x:v>Change</x:v>
      </x:c>
      <x:c r="E14" s="65"/>
      <x:c r="F14" s="50" t="str">
        <x:v>The redesigned handover model shows how structured business analysis can convert a clinical operations problem into clear requirements, role accountability, standard workflow, audit controls, and measurable service improvement. The dashboard is suitable for executive review and should be refreshed with approved hospital data during pilot operation.</x:v>
      </x:c>
      <x:c r="G14" s="51" t="str">
        <x:v>The redesigned handover model shows how structured business analysis can convert a clinical operations problem into clear requirements, role accountability, standard workflow, audit controls, and measurable service improvement. The dashboard is suitable for executive review and should be refreshed with approved hospital data during pilot operation.</x:v>
      </x:c>
      <x:c r="H14" s="52" t="str">
        <x:v>The redesigned handover model shows how structured business analysis can convert a clinical operations problem into clear requirements, role accountability, standard workflow, audit controls, and measurable service improvement. The dashboard is suitable for executive review and should be refreshed with approved hospital data during pilot operation.</x:v>
      </x:c>
    </x:row>
    <x:row r="15">
      <x:c r="A15" s="31" t="str">
        <x:v>Satisfaction score</x:v>
      </x:c>
      <x:c r="B15" s="72" t="n">
        <x:f>AVERAGE('Feedback Data'!D2:D10)</x:f>
        <x:v>61.22222222222222</x:v>
      </x:c>
      <x:c r="C15" s="72" t="n">
        <x:f>AVERAGE('Feedback Data'!D13:D20)</x:f>
        <x:v>79.625</x:v>
      </x:c>
      <x:c r="D15" s="72" t="n">
        <x:f>C15-B15</x:f>
        <x:v>18.40277777777778</x:v>
      </x:c>
      <x:c r="E15" s="65"/>
      <x:c r="F15" s="53" t="str">
        <x:v>The redesigned handover model shows how structured business analysis can convert a clinical operations problem into clear requirements, role accountability, standard workflow, audit controls, and measurable service improvement. The dashboard is suitable for executive review and should be refreshed with approved hospital data during pilot operation.</x:v>
      </x:c>
      <x:c r="G15" s="54" t="str">
        <x:v>The redesigned handover model shows how structured business analysis can convert a clinical operations problem into clear requirements, role accountability, standard workflow, audit controls, and measurable service improvement. The dashboard is suitable for executive review and should be refreshed with approved hospital data during pilot operation.</x:v>
      </x:c>
      <x:c r="H15" s="55" t="str">
        <x:v>The redesigned handover model shows how structured business analysis can convert a clinical operations problem into clear requirements, role accountability, standard workflow, audit controls, and measurable service improvement. The dashboard is suitable for executive review and should be refreshed with approved hospital data during pilot operation.</x:v>
      </x:c>
    </x:row>
    <x:row r="16">
      <x:c r="A16" s="31" t="str">
        <x:v>Positive sentiment</x:v>
      </x:c>
      <x:c r="B16" s="71" t="n">
        <x:f>AVERAGE('Feedback Data'!E2:E10)</x:f>
        <x:v>0.4933333333333334</x:v>
      </x:c>
      <x:c r="C16" s="71" t="n">
        <x:f>AVERAGE('Feedback Data'!E13:E20)</x:f>
        <x:v>0.7925</x:v>
      </x:c>
      <x:c r="D16" s="71" t="n">
        <x:f>C16-B16</x:f>
        <x:v>0.2991666666666666</x:v>
      </x:c>
      <x:c r="E16" s="65"/>
      <x:c r="F16" s="53" t="str">
        <x:v>The redesigned handover model shows how structured business analysis can convert a clinical operations problem into clear requirements, role accountability, standard workflow, audit controls, and measurable service improvement. The dashboard is suitable for executive review and should be refreshed with approved hospital data during pilot operation.</x:v>
      </x:c>
      <x:c r="G16" s="54" t="str">
        <x:v>The redesigned handover model shows how structured business analysis can convert a clinical operations problem into clear requirements, role accountability, standard workflow, audit controls, and measurable service improvement. The dashboard is suitable for executive review and should be refreshed with approved hospital data during pilot operation.</x:v>
      </x:c>
      <x:c r="H16" s="55" t="str">
        <x:v>The redesigned handover model shows how structured business analysis can convert a clinical operations problem into clear requirements, role accountability, standard workflow, audit controls, and measurable service improvement. The dashboard is suitable for executive review and should be refreshed with approved hospital data during pilot operation.</x:v>
      </x:c>
    </x:row>
    <x:row r="17">
      <x:c r="A17" s="31" t="str">
        <x:v>Total feedback responses</x:v>
      </x:c>
      <x:c r="B17" s="73" t="n">
        <x:f>SUM('Feedback Data'!C2:C10)</x:f>
        <x:v>160</x:v>
      </x:c>
      <x:c r="C17" s="73" t="n">
        <x:f>SUM('Feedback Data'!C13:C20)</x:f>
        <x:v>175</x:v>
      </x:c>
      <x:c r="D17" s="73" t="n">
        <x:f>C17-B17</x:f>
        <x:v>15</x:v>
      </x:c>
      <x:c r="E17" s="65"/>
      <x:c r="F17" s="53" t="str">
        <x:v>The redesigned handover model shows how structured business analysis can convert a clinical operations problem into clear requirements, role accountability, standard workflow, audit controls, and measurable service improvement. The dashboard is suitable for executive review and should be refreshed with approved hospital data during pilot operation.</x:v>
      </x:c>
      <x:c r="G17" s="54" t="str">
        <x:v>The redesigned handover model shows how structured business analysis can convert a clinical operations problem into clear requirements, role accountability, standard workflow, audit controls, and measurable service improvement. The dashboard is suitable for executive review and should be refreshed with approved hospital data during pilot operation.</x:v>
      </x:c>
      <x:c r="H17" s="55" t="str">
        <x:v>The redesigned handover model shows how structured business analysis can convert a clinical operations problem into clear requirements, role accountability, standard workflow, audit controls, and measurable service improvement. The dashboard is suitable for executive review and should be refreshed with approved hospital data during pilot operation.</x:v>
      </x:c>
    </x:row>
    <x:row r="18">
      <x:c r="A18" s="31" t="str">
        <x:v>Most common post theme</x:v>
      </x:c>
      <x:c r="B18" s="31" t="str"/>
      <x:c r="C18" s="31" t="str">
        <x:v>Clearer handover, named receiver, fewer repeated questions</x:v>
      </x:c>
      <x:c r="D18" s="31" t="str"/>
      <x:c r="E18" s="65"/>
      <x:c r="F18" s="56" t="str">
        <x:v>The redesigned handover model shows how structured business analysis can convert a clinical operations problem into clear requirements, role accountability, standard workflow, audit controls, and measurable service improvement. The dashboard is suitable for executive review and should be refreshed with approved hospital data during pilot operation.</x:v>
      </x:c>
      <x:c r="G18" s="57" t="str">
        <x:v>The redesigned handover model shows how structured business analysis can convert a clinical operations problem into clear requirements, role accountability, standard workflow, audit controls, and measurable service improvement. The dashboard is suitable for executive review and should be refreshed with approved hospital data during pilot operation.</x:v>
      </x:c>
      <x:c r="H18" s="58" t="str">
        <x:v>The redesigned handover model shows how structured business analysis can convert a clinical operations problem into clear requirements, role accountability, standard workflow, audit controls, and measurable service improvement. The dashboard is suitable for executive review and should be refreshed with approved hospital data during pilot operation.</x:v>
      </x:c>
    </x:row>
    <x:row r="19">
      <x:c r="A19" s="65"/>
      <x:c r="B19" s="65"/>
      <x:c r="C19" s="65"/>
      <x:c r="D19" s="65"/>
      <x:c r="E19" s="65"/>
      <x:c r="F19" s="65"/>
      <x:c r="G19" s="65"/>
      <x:c r="H19" s="65"/>
    </x:row>
    <x:row r="20">
      <x:c r="A20" s="65"/>
      <x:c r="B20" s="65"/>
      <x:c r="C20" s="65"/>
      <x:c r="D20" s="65"/>
      <x:c r="E20" s="65"/>
      <x:c r="F20" s="65"/>
      <x:c r="G20" s="65"/>
      <x:c r="H20" s="65"/>
    </x:row>
    <x:row r="21">
      <x:c r="A21" s="74" t="str">
        <x:v>Month</x:v>
      </x:c>
      <x:c r="B21" s="74" t="str">
        <x:v>Median Time</x:v>
      </x:c>
      <x:c r="C21" s="74" t="str">
        <x:v>Within Target</x:v>
      </x:c>
      <x:c r="D21" s="74" t="str">
        <x:v>Incomplete Records</x:v>
      </x:c>
      <x:c r="E21" s="65"/>
      <x:c r="F21" s="65"/>
      <x:c r="G21" s="74" t="str">
        <x:v>Month</x:v>
      </x:c>
      <x:c r="H21" s="74" t="str">
        <x:v>Incomplete Records</x:v>
      </x:c>
    </x:row>
    <x:row r="22">
      <x:c r="A22" s="65" t="str">
        <x:f>'KPI Data'!A2</x:f>
        <x:v>Jan 2026</x:v>
      </x:c>
      <x:c r="B22" s="75" t="n">
        <x:f>'KPI Data'!D2</x:f>
        <x:v>25</x:v>
      </x:c>
      <x:c r="C22" s="76" t="n">
        <x:f>'KPI Data'!E2</x:f>
        <x:v>0.5</x:v>
      </x:c>
      <x:c r="D22" s="76" t="n">
        <x:f>'KPI Data'!F2</x:f>
        <x:v>0.34</x:v>
      </x:c>
      <x:c r="E22" s="65"/>
      <x:c r="F22" s="65"/>
      <x:c r="G22" s="65" t="str">
        <x:f>A22</x:f>
        <x:v>Jan 2026</x:v>
      </x:c>
      <x:c r="H22" s="76" t="n">
        <x:f>D22</x:f>
        <x:v>0.34</x:v>
      </x:c>
    </x:row>
    <x:row r="23">
      <x:c r="A23" s="65" t="str">
        <x:f>'KPI Data'!A3</x:f>
        <x:v>Feb 2026</x:v>
      </x:c>
      <x:c r="B23" s="75" t="n">
        <x:f>'KPI Data'!D3</x:f>
        <x:v>23</x:v>
      </x:c>
      <x:c r="C23" s="76" t="n">
        <x:f>'KPI Data'!E3</x:f>
        <x:v>0.53</x:v>
      </x:c>
      <x:c r="D23" s="76" t="n">
        <x:f>'KPI Data'!F3</x:f>
        <x:v>0.3</x:v>
      </x:c>
      <x:c r="E23" s="65"/>
      <x:c r="F23" s="65"/>
      <x:c r="G23" s="65" t="str">
        <x:f>A23</x:f>
        <x:v>Feb 2026</x:v>
      </x:c>
      <x:c r="H23" s="76" t="n">
        <x:f>D23</x:f>
        <x:v>0.3</x:v>
      </x:c>
    </x:row>
    <x:row r="24">
      <x:c r="A24" s="65" t="str">
        <x:f>'KPI Data'!A4</x:f>
        <x:v>Mar 2026</x:v>
      </x:c>
      <x:c r="B24" s="75" t="n">
        <x:f>'KPI Data'!D4</x:f>
        <x:v>24</x:v>
      </x:c>
      <x:c r="C24" s="76" t="n">
        <x:f>'KPI Data'!E4</x:f>
        <x:v>0.52</x:v>
      </x:c>
      <x:c r="D24" s="76" t="n">
        <x:f>'KPI Data'!F4</x:f>
        <x:v>0.31</x:v>
      </x:c>
      <x:c r="E24" s="65"/>
      <x:c r="F24" s="65"/>
      <x:c r="G24" s="65" t="str">
        <x:f>A24</x:f>
        <x:v>Mar 2026</x:v>
      </x:c>
      <x:c r="H24" s="76" t="n">
        <x:f>D24</x:f>
        <x:v>0.31</x:v>
      </x:c>
    </x:row>
    <x:row r="25">
      <x:c r="A25" s="65" t="str">
        <x:f>'KPI Data'!A5</x:f>
        <x:v>Apr 2026</x:v>
      </x:c>
      <x:c r="B25" s="75" t="n">
        <x:f>'KPI Data'!D5</x:f>
        <x:v>19</x:v>
      </x:c>
      <x:c r="C25" s="76" t="n">
        <x:f>'KPI Data'!E5</x:f>
        <x:v>0.64</x:v>
      </x:c>
      <x:c r="D25" s="76" t="n">
        <x:f>'KPI Data'!F5</x:f>
        <x:v>0.2</x:v>
      </x:c>
      <x:c r="E25" s="65"/>
      <x:c r="F25" s="65"/>
      <x:c r="G25" s="65" t="str">
        <x:f>A25</x:f>
        <x:v>Apr 2026</x:v>
      </x:c>
      <x:c r="H25" s="76" t="n">
        <x:f>D25</x:f>
        <x:v>0.2</x:v>
      </x:c>
    </x:row>
    <x:row r="26">
      <x:c r="A26" s="65" t="str">
        <x:f>'KPI Data'!A6</x:f>
        <x:v>May 2026</x:v>
      </x:c>
      <x:c r="B26" s="75" t="n">
        <x:f>'KPI Data'!D6</x:f>
        <x:v>15</x:v>
      </x:c>
      <x:c r="C26" s="76" t="n">
        <x:f>'KPI Data'!E6</x:f>
        <x:v>0.78</x:v>
      </x:c>
      <x:c r="D26" s="76" t="n">
        <x:f>'KPI Data'!F6</x:f>
        <x:v>0.12</x:v>
      </x:c>
      <x:c r="E26" s="65"/>
      <x:c r="F26" s="65"/>
      <x:c r="G26" s="65" t="str">
        <x:f>A26</x:f>
        <x:v>May 2026</x:v>
      </x:c>
      <x:c r="H26" s="76" t="n">
        <x:f>D26</x:f>
        <x:v>0.12</x:v>
      </x:c>
    </x:row>
    <x:row r="27">
      <x:c r="A27" s="65" t="str">
        <x:f>'KPI Data'!A7</x:f>
        <x:v>Jun 2026</x:v>
      </x:c>
      <x:c r="B27" s="75" t="n">
        <x:f>'KPI Data'!D7</x:f>
        <x:v>13</x:v>
      </x:c>
      <x:c r="C27" s="76" t="n">
        <x:f>'KPI Data'!E7</x:f>
        <x:v>0.84</x:v>
      </x:c>
      <x:c r="D27" s="76" t="n">
        <x:f>'KPI Data'!F7</x:f>
        <x:v>0.08</x:v>
      </x:c>
      <x:c r="E27" s="65"/>
      <x:c r="F27" s="65"/>
      <x:c r="G27" s="65" t="str">
        <x:f>A27</x:f>
        <x:v>Jun 2026</x:v>
      </x:c>
      <x:c r="H27" s="76" t="n">
        <x:f>D27</x:f>
        <x:v>0.08</x:v>
      </x:c>
    </x:row>
    <x:row r="28">
      <x:c r="A28" s="65" t="str">
        <x:f>'KPI Data'!A8</x:f>
        <x:v>Jul 2026</x:v>
      </x:c>
      <x:c r="B28" s="75" t="n">
        <x:f>'KPI Data'!D8</x:f>
        <x:v>12</x:v>
      </x:c>
      <x:c r="C28" s="76" t="n">
        <x:f>'KPI Data'!E8</x:f>
        <x:v>0.86</x:v>
      </x:c>
      <x:c r="D28" s="76" t="n">
        <x:f>'KPI Data'!F8</x:f>
        <x:v>0.07</x:v>
      </x:c>
      <x:c r="E28" s="65"/>
      <x:c r="F28" s="65"/>
      <x:c r="G28" s="65" t="str">
        <x:f>A28</x:f>
        <x:v>Jul 2026</x:v>
      </x:c>
      <x:c r="H28" s="76" t="n">
        <x:f>D28</x:f>
        <x:v>0.07</x:v>
      </x:c>
    </x:row>
    <x:row r="29">
      <x:c r="A29" s="65"/>
      <x:c r="B29" s="65"/>
      <x:c r="C29" s="65"/>
      <x:c r="D29" s="65"/>
      <x:c r="E29" s="65"/>
      <x:c r="F29" s="65"/>
      <x:c r="G29" s="65"/>
      <x:c r="H29" s="65"/>
    </x:row>
    <x:row r="30">
      <x:c r="A30" s="65"/>
      <x:c r="B30" s="65"/>
      <x:c r="C30" s="65"/>
      <x:c r="D30" s="65"/>
      <x:c r="E30" s="65"/>
      <x:c r="F30" s="65"/>
      <x:c r="G30" s="65"/>
      <x:c r="H30" s="65"/>
    </x:row>
    <x:row r="31">
      <x:c r="A31" s="65"/>
      <x:c r="B31" s="65"/>
      <x:c r="C31" s="65"/>
      <x:c r="D31" s="65"/>
      <x:c r="E31" s="65"/>
      <x:c r="F31" s="65"/>
      <x:c r="G31" s="65"/>
      <x:c r="H31" s="65"/>
    </x:row>
    <x:row r="32">
      <x:c r="A32" s="65"/>
      <x:c r="B32" s="65"/>
      <x:c r="C32" s="65"/>
      <x:c r="D32" s="65"/>
      <x:c r="E32" s="65"/>
      <x:c r="F32" s="65"/>
      <x:c r="G32" s="65"/>
      <x:c r="H32" s="65"/>
    </x:row>
    <x:row r="33">
      <x:c r="A33" s="65"/>
      <x:c r="B33" s="65"/>
      <x:c r="C33" s="65"/>
      <x:c r="D33" s="65"/>
      <x:c r="E33" s="65"/>
      <x:c r="F33" s="65"/>
      <x:c r="G33" s="65"/>
      <x:c r="H33" s="65"/>
    </x:row>
    <x:row r="34">
      <x:c r="A34" s="65"/>
      <x:c r="B34" s="65"/>
      <x:c r="C34" s="65"/>
      <x:c r="D34" s="65"/>
      <x:c r="E34" s="65"/>
      <x:c r="F34" s="65"/>
      <x:c r="G34" s="65"/>
      <x:c r="H34" s="65"/>
    </x:row>
    <x:row r="35">
      <x:c r="A35" s="65"/>
      <x:c r="B35" s="65"/>
      <x:c r="C35" s="65"/>
      <x:c r="D35" s="65"/>
      <x:c r="E35" s="65"/>
      <x:c r="F35" s="65"/>
      <x:c r="G35" s="65"/>
      <x:c r="H35" s="65"/>
    </x:row>
    <x:row r="36">
      <x:c r="A36" s="65"/>
      <x:c r="B36" s="65"/>
      <x:c r="C36" s="65"/>
      <x:c r="D36" s="65"/>
      <x:c r="E36" s="65"/>
      <x:c r="F36" s="65"/>
      <x:c r="G36" s="65"/>
      <x:c r="H36" s="65"/>
    </x:row>
    <x:row r="37">
      <x:c r="A37" s="65"/>
      <x:c r="B37" s="65"/>
      <x:c r="C37" s="65"/>
      <x:c r="D37" s="65"/>
      <x:c r="E37" s="65"/>
      <x:c r="F37" s="65"/>
      <x:c r="G37" s="65"/>
      <x:c r="H37" s="65"/>
    </x:row>
    <x:row r="38">
      <x:c r="A38" s="65"/>
      <x:c r="B38" s="65"/>
      <x:c r="C38" s="65"/>
      <x:c r="D38" s="65"/>
      <x:c r="E38" s="65"/>
      <x:c r="F38" s="65"/>
      <x:c r="G38" s="65"/>
      <x:c r="H38" s="65"/>
    </x:row>
    <x:row r="39">
      <x:c r="A39" s="65"/>
      <x:c r="B39" s="65"/>
      <x:c r="C39" s="65"/>
      <x:c r="D39" s="65"/>
      <x:c r="E39" s="65"/>
      <x:c r="F39" s="65"/>
      <x:c r="G39" s="65"/>
      <x:c r="H39" s="65"/>
    </x:row>
    <x:row r="40">
      <x:c r="A40" s="65"/>
      <x:c r="B40" s="65"/>
      <x:c r="C40" s="65"/>
      <x:c r="D40" s="65"/>
      <x:c r="E40" s="65"/>
      <x:c r="F40" s="65"/>
      <x:c r="G40" s="65"/>
      <x:c r="H40" s="65"/>
    </x:row>
    <x:row r="41">
      <x:c r="A41" s="65"/>
      <x:c r="B41" s="65"/>
      <x:c r="C41" s="65"/>
      <x:c r="D41" s="65"/>
      <x:c r="E41" s="65"/>
      <x:c r="F41" s="65"/>
      <x:c r="G41" s="65"/>
      <x:c r="H41" s="65"/>
    </x:row>
    <x:row r="42">
      <x:c r="A42" s="65"/>
      <x:c r="B42" s="65"/>
      <x:c r="C42" s="65"/>
      <x:c r="D42" s="65"/>
      <x:c r="E42" s="65"/>
      <x:c r="F42" s="65"/>
      <x:c r="G42" s="65"/>
      <x:c r="H42" s="65"/>
    </x:row>
    <x:row r="43">
      <x:c r="A43" s="65"/>
      <x:c r="B43" s="65"/>
      <x:c r="C43" s="65"/>
      <x:c r="D43" s="65"/>
      <x:c r="E43" s="65"/>
      <x:c r="F43" s="65"/>
      <x:c r="G43" s="65"/>
      <x:c r="H43" s="65"/>
    </x:row>
    <x:row r="44">
      <x:c r="A44" s="65"/>
      <x:c r="B44" s="65"/>
      <x:c r="C44" s="65"/>
      <x:c r="D44" s="65"/>
      <x:c r="E44" s="65"/>
      <x:c r="F44" s="65"/>
      <x:c r="G44" s="65"/>
      <x:c r="H44" s="65"/>
    </x:row>
    <x:row r="45">
      <x:c r="A45" s="65"/>
      <x:c r="B45" s="65"/>
      <x:c r="C45" s="65"/>
      <x:c r="D45" s="65"/>
      <x:c r="E45" s="65"/>
      <x:c r="F45" s="65"/>
      <x:c r="G45" s="65"/>
      <x:c r="H45" s="65"/>
    </x:row>
  </x:sheetData>
  <x:mergeCells>
    <x:mergeCell ref="A1:H1"/>
    <x:mergeCell ref="A2:H2"/>
    <x:mergeCell ref="A3:H3"/>
    <x:mergeCell ref="A5:H5"/>
    <x:mergeCell ref="A13:D13"/>
    <x:mergeCell ref="C18:D18"/>
    <x:mergeCell ref="F13:H13"/>
    <x:mergeCell ref="F14:H18"/>
  </x:mergeCells>
  <x:pageMargins left="0.7" right="0.7" top="0.75" bottom="0.75" header="0.3" footer="0.3"/>
  <x:drawing xmlns:r="http://schemas.openxmlformats.org/officeDocument/2006/relationships" r:id="R81c83c46bcaf4169"/>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9.25" hidden="0" customWidth="1"/>
    <x:col min="3" max="3" width="15.380000114440918" hidden="0" customWidth="1"/>
    <x:col min="4" max="4" width="22.8799991607666" hidden="0" customWidth="1"/>
    <x:col min="5" max="5" width="16.6299991607666" hidden="0" customWidth="1"/>
    <x:col min="6" max="6" width="15.630000114440918" hidden="0" customWidth="1"/>
    <x:col min="7" max="7" width="17.3799991607666" hidden="0" customWidth="1"/>
    <x:col min="8" max="8" width="19.6299991607666" hidden="0" customWidth="1"/>
  </x:cols>
  <x:sheetData>
    <x:row r="1">
      <x:c r="A1" s="4" t="str">
        <x:v>Month</x:v>
      </x:c>
      <x:c r="B1" s="4" t="str">
        <x:v>Phase</x:v>
      </x:c>
      <x:c r="C1" s="4" t="str">
        <x:v>Ambulance Arrivals</x:v>
      </x:c>
      <x:c r="D1" s="4" t="str">
        <x:v>Median Handover Time (min)</x:v>
      </x:c>
      <x:c r="E1" s="4" t="str">
        <x:v>Within 15 Min Target</x:v>
      </x:c>
      <x:c r="F1" s="4" t="str">
        <x:v>Incomplete Records</x:v>
      </x:c>
      <x:c r="G1" s="4" t="str">
        <x:v>Duplicate Questioning</x:v>
      </x:c>
      <x:c r="H1" s="4" t="str">
        <x:v>Escalations Within Target</x:v>
      </x:c>
    </x:row>
    <x:row r="2">
      <x:c r="A2" s="5" t="str">
        <x:v>Jan 2026</x:v>
      </x:c>
      <x:c r="B2" s="5" t="str">
        <x:v>Baseline</x:v>
      </x:c>
      <x:c r="C2" s="6" t="n">
        <x:v>118</x:v>
      </x:c>
      <x:c r="D2" s="6" t="n">
        <x:v>25</x:v>
      </x:c>
      <x:c r="E2" s="7" t="n">
        <x:v>0.5</x:v>
      </x:c>
      <x:c r="F2" s="7" t="n">
        <x:v>0.34</x:v>
      </x:c>
      <x:c r="G2" s="7" t="n">
        <x:v>0.46</x:v>
      </x:c>
      <x:c r="H2" s="7" t="n">
        <x:v>0.55</x:v>
      </x:c>
    </x:row>
    <x:row r="3">
      <x:c r="A3" s="5" t="str">
        <x:v>Feb 2026</x:v>
      </x:c>
      <x:c r="B3" s="5" t="str">
        <x:v>Baseline</x:v>
      </x:c>
      <x:c r="C3" s="6" t="n">
        <x:v>126</x:v>
      </x:c>
      <x:c r="D3" s="6" t="n">
        <x:v>23</x:v>
      </x:c>
      <x:c r="E3" s="7" t="n">
        <x:v>0.53</x:v>
      </x:c>
      <x:c r="F3" s="7" t="n">
        <x:v>0.3</x:v>
      </x:c>
      <x:c r="G3" s="7" t="n">
        <x:v>0.43</x:v>
      </x:c>
      <x:c r="H3" s="7" t="n">
        <x:v>0.6</x:v>
      </x:c>
    </x:row>
    <x:row r="4">
      <x:c r="A4" s="5" t="str">
        <x:v>Mar 2026</x:v>
      </x:c>
      <x:c r="B4" s="5" t="str">
        <x:v>Baseline</x:v>
      </x:c>
      <x:c r="C4" s="6" t="n">
        <x:v>122</x:v>
      </x:c>
      <x:c r="D4" s="6" t="n">
        <x:v>24</x:v>
      </x:c>
      <x:c r="E4" s="7" t="n">
        <x:v>0.52</x:v>
      </x:c>
      <x:c r="F4" s="7" t="n">
        <x:v>0.31</x:v>
      </x:c>
      <x:c r="G4" s="7" t="n">
        <x:v>0.44</x:v>
      </x:c>
      <x:c r="H4" s="7" t="n">
        <x:v>0.58</x:v>
      </x:c>
    </x:row>
    <x:row r="5">
      <x:c r="A5" s="5" t="str">
        <x:v>Apr 2026</x:v>
      </x:c>
      <x:c r="B5" s="5" t="str">
        <x:v>Pilot launch</x:v>
      </x:c>
      <x:c r="C5" s="6" t="n">
        <x:v>124</x:v>
      </x:c>
      <x:c r="D5" s="6" t="n">
        <x:v>19</x:v>
      </x:c>
      <x:c r="E5" s="7" t="n">
        <x:v>0.64</x:v>
      </x:c>
      <x:c r="F5" s="7" t="n">
        <x:v>0.2</x:v>
      </x:c>
      <x:c r="G5" s="7" t="n">
        <x:v>0.31</x:v>
      </x:c>
      <x:c r="H5" s="7" t="n">
        <x:v>0.72</x:v>
      </x:c>
    </x:row>
    <x:row r="6">
      <x:c r="A6" s="5" t="str">
        <x:v>May 2026</x:v>
      </x:c>
      <x:c r="B6" s="5" t="str">
        <x:v>Post</x:v>
      </x:c>
      <x:c r="C6" s="6" t="n">
        <x:v>131</x:v>
      </x:c>
      <x:c r="D6" s="6" t="n">
        <x:v>15</x:v>
      </x:c>
      <x:c r="E6" s="7" t="n">
        <x:v>0.78</x:v>
      </x:c>
      <x:c r="F6" s="7" t="n">
        <x:v>0.12</x:v>
      </x:c>
      <x:c r="G6" s="7" t="n">
        <x:v>0.24</x:v>
      </x:c>
      <x:c r="H6" s="7" t="n">
        <x:v>0.83</x:v>
      </x:c>
    </x:row>
    <x:row r="7">
      <x:c r="A7" s="5" t="str">
        <x:v>Jun 2026</x:v>
      </x:c>
      <x:c r="B7" s="5" t="str">
        <x:v>Post</x:v>
      </x:c>
      <x:c r="C7" s="6" t="n">
        <x:v>128</x:v>
      </x:c>
      <x:c r="D7" s="6" t="n">
        <x:v>13</x:v>
      </x:c>
      <x:c r="E7" s="7" t="n">
        <x:v>0.84</x:v>
      </x:c>
      <x:c r="F7" s="7" t="n">
        <x:v>0.08</x:v>
      </x:c>
      <x:c r="G7" s="7" t="n">
        <x:v>0.18</x:v>
      </x:c>
      <x:c r="H7" s="7" t="n">
        <x:v>0.91</x:v>
      </x:c>
    </x:row>
    <x:row r="8">
      <x:c r="A8" s="5" t="str">
        <x:v>Jul 2026</x:v>
      </x:c>
      <x:c r="B8" s="5" t="str">
        <x:v>Post</x:v>
      </x:c>
      <x:c r="C8" s="6" t="n">
        <x:v>135</x:v>
      </x:c>
      <x:c r="D8" s="6" t="n">
        <x:v>12</x:v>
      </x:c>
      <x:c r="E8" s="7" t="n">
        <x:v>0.86</x:v>
      </x:c>
      <x:c r="F8" s="7" t="n">
        <x:v>0.07</x:v>
      </x:c>
      <x:c r="G8" s="7" t="n">
        <x:v>0.16</x:v>
      </x:c>
      <x:c r="H8" s="7" t="n">
        <x:v>0.93</x:v>
      </x:c>
    </x:row>
  </x:sheetData>
  <x:pageMargins left="0.7" right="0.7" top="0.75" bottom="0.75" header="0.3" footer="0.3"/>
  <x:tableParts count="1">
    <x:tablePart xmlns:r="http://schemas.openxmlformats.org/officeDocument/2006/relationships" r:id="Rd4fe62b27e9347f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13" hidden="0" customWidth="1"/>
    <x:col min="3" max="3" width="8.5" hidden="0" customWidth="1"/>
    <x:col min="4" max="4" width="14" hidden="0" customWidth="1"/>
    <x:col min="5" max="5" width="14.75" hidden="0" customWidth="1"/>
    <x:col min="6" max="6" width="20.8799991607666" hidden="0" customWidth="1"/>
  </x:cols>
  <x:sheetData>
    <x:row r="1">
      <x:c r="A1" s="4" t="str">
        <x:v>Month</x:v>
      </x:c>
      <x:c r="B1" s="4" t="str">
        <x:v>Group</x:v>
      </x:c>
      <x:c r="C1" s="4" t="str">
        <x:v>Responses</x:v>
      </x:c>
      <x:c r="D1" s="4" t="str">
        <x:v>Satisfaction Score</x:v>
      </x:c>
      <x:c r="E1" s="4" t="str">
        <x:v>Positive Sentiment</x:v>
      </x:c>
      <x:c r="F1" s="4" t="str">
        <x:v>Top Theme</x:v>
      </x:c>
    </x:row>
    <x:row r="2">
      <x:c r="A2" s="5" t="str">
        <x:v>Jan 2026</x:v>
      </x:c>
      <x:c r="B2" s="5" t="str">
        <x:v>Ambulance crew</x:v>
      </x:c>
      <x:c r="C2" s="5" t="n">
        <x:v>18</x:v>
      </x:c>
      <x:c r="D2" s="8" t="n">
        <x:v>58</x:v>
      </x:c>
      <x:c r="E2" s="7" t="n">
        <x:v>0.44</x:v>
      </x:c>
      <x:c r="F2" s="5" t="str">
        <x:v>Waiting for named receiver</x:v>
      </x:c>
    </x:row>
    <x:row r="3">
      <x:c r="A3" s="5" t="str">
        <x:v>Jan 2026</x:v>
      </x:c>
      <x:c r="B3" s="5" t="str">
        <x:v>Receiving nurses</x:v>
      </x:c>
      <x:c r="C3" s="5" t="n">
        <x:v>14</x:v>
      </x:c>
      <x:c r="D3" s="8" t="n">
        <x:v>62</x:v>
      </x:c>
      <x:c r="E3" s="7" t="n">
        <x:v>0.5</x:v>
      </x:c>
      <x:c r="F3" s="5" t="str">
        <x:v>Missing clinical details</x:v>
      </x:c>
    </x:row>
    <x:row r="4">
      <x:c r="A4" s="5" t="str">
        <x:v>Jan 2026</x:v>
      </x:c>
      <x:c r="B4" s="5" t="str">
        <x:v>Patients/carers</x:v>
      </x:c>
      <x:c r="C4" s="5" t="n">
        <x:v>20</x:v>
      </x:c>
      <x:c r="D4" s="8" t="n">
        <x:v>60</x:v>
      </x:c>
      <x:c r="E4" s="7" t="n">
        <x:v>0.48</x:v>
      </x:c>
      <x:c r="F4" s="5" t="str">
        <x:v>Repeated questions</x:v>
      </x:c>
    </x:row>
    <x:row r="5">
      <x:c r="A5" s="5" t="str">
        <x:v>Feb 2026</x:v>
      </x:c>
      <x:c r="B5" s="5" t="str">
        <x:v>Ambulance crew</x:v>
      </x:c>
      <x:c r="C5" s="5" t="n">
        <x:v>20</x:v>
      </x:c>
      <x:c r="D5" s="8" t="n">
        <x:v>60</x:v>
      </x:c>
      <x:c r="E5" s="7" t="n">
        <x:v>0.48</x:v>
      </x:c>
      <x:c r="F5" s="5" t="str">
        <x:v>Queue pressure</x:v>
      </x:c>
    </x:row>
    <x:row r="6">
      <x:c r="A6" s="5" t="str">
        <x:v>Feb 2026</x:v>
      </x:c>
      <x:c r="B6" s="5" t="str">
        <x:v>Receiving nurses</x:v>
      </x:c>
      <x:c r="C6" s="5" t="n">
        <x:v>15</x:v>
      </x:c>
      <x:c r="D6" s="8" t="n">
        <x:v>63</x:v>
      </x:c>
      <x:c r="E6" s="7" t="n">
        <x:v>0.51</x:v>
      </x:c>
      <x:c r="F6" s="5" t="str">
        <x:v>Unclear escalation</x:v>
      </x:c>
    </x:row>
    <x:row r="7">
      <x:c r="A7" s="5" t="str">
        <x:v>Feb 2026</x:v>
      </x:c>
      <x:c r="B7" s="5" t="str">
        <x:v>Patients/carers</x:v>
      </x:c>
      <x:c r="C7" s="5" t="n">
        <x:v>22</x:v>
      </x:c>
      <x:c r="D7" s="8" t="n">
        <x:v>61</x:v>
      </x:c>
      <x:c r="E7" s="7" t="n">
        <x:v>0.5</x:v>
      </x:c>
      <x:c r="F7" s="5" t="str">
        <x:v>Waiting uncertainty</x:v>
      </x:c>
    </x:row>
    <x:row r="8">
      <x:c r="A8" s="5" t="str">
        <x:v>Mar 2026</x:v>
      </x:c>
      <x:c r="B8" s="5" t="str">
        <x:v>Ambulance crew</x:v>
      </x:c>
      <x:c r="C8" s="5" t="n">
        <x:v>17</x:v>
      </x:c>
      <x:c r="D8" s="8" t="n">
        <x:v>61</x:v>
      </x:c>
      <x:c r="E8" s="7" t="n">
        <x:v>0.5</x:v>
      </x:c>
      <x:c r="F8" s="5" t="str">
        <x:v>Variable handover quality</x:v>
      </x:c>
    </x:row>
    <x:row r="9">
      <x:c r="A9" s="5" t="str">
        <x:v>Mar 2026</x:v>
      </x:c>
      <x:c r="B9" s="5" t="str">
        <x:v>Receiving nurses</x:v>
      </x:c>
      <x:c r="C9" s="5" t="n">
        <x:v>16</x:v>
      </x:c>
      <x:c r="D9" s="8" t="n">
        <x:v>64</x:v>
      </x:c>
      <x:c r="E9" s="7" t="n">
        <x:v>0.52</x:v>
      </x:c>
      <x:c r="F9" s="5" t="str">
        <x:v>Incomplete handover</x:v>
      </x:c>
    </x:row>
    <x:row r="10">
      <x:c r="A10" s="5" t="str">
        <x:v>Mar 2026</x:v>
      </x:c>
      <x:c r="B10" s="5" t="str">
        <x:v>Patients/carers</x:v>
      </x:c>
      <x:c r="C10" s="5" t="n">
        <x:v>18</x:v>
      </x:c>
      <x:c r="D10" s="8" t="n">
        <x:v>62</x:v>
      </x:c>
      <x:c r="E10" s="7" t="n">
        <x:v>0.51</x:v>
      </x:c>
      <x:c r="F10" s="5" t="str">
        <x:v>Repeated questions</x:v>
      </x:c>
    </x:row>
    <x:row r="11">
      <x:c r="A11" s="5" t="str">
        <x:v>Apr 2026</x:v>
      </x:c>
      <x:c r="B11" s="5" t="str">
        <x:v>Ambulance crew</x:v>
      </x:c>
      <x:c r="C11" s="5" t="n">
        <x:v>19</x:v>
      </x:c>
      <x:c r="D11" s="8" t="n">
        <x:v>70</x:v>
      </x:c>
      <x:c r="E11" s="7" t="n">
        <x:v>0.66</x:v>
      </x:c>
      <x:c r="F11" s="5" t="str">
        <x:v>Clearer receiving point</x:v>
      </x:c>
    </x:row>
    <x:row r="12">
      <x:c r="A12" s="5" t="str">
        <x:v>Apr 2026</x:v>
      </x:c>
      <x:c r="B12" s="5" t="str">
        <x:v>Receiving nurses</x:v>
      </x:c>
      <x:c r="C12" s="5" t="n">
        <x:v>17</x:v>
      </x:c>
      <x:c r="D12" s="8" t="n">
        <x:v>72</x:v>
      </x:c>
      <x:c r="E12" s="7" t="n">
        <x:v>0.68</x:v>
      </x:c>
      <x:c r="F12" s="5" t="str">
        <x:v>SBAR improved confidence</x:v>
      </x:c>
    </x:row>
    <x:row r="13">
      <x:c r="A13" s="5" t="str">
        <x:v>Apr 2026</x:v>
      </x:c>
      <x:c r="B13" s="5" t="str">
        <x:v>Patients/carers</x:v>
      </x:c>
      <x:c r="C13" s="5" t="n">
        <x:v>21</x:v>
      </x:c>
      <x:c r="D13" s="8" t="n">
        <x:v>70</x:v>
      </x:c>
      <x:c r="E13" s="7" t="n">
        <x:v>0.65</x:v>
      </x:c>
      <x:c r="F13" s="5" t="str">
        <x:v>Less repeated questioning</x:v>
      </x:c>
    </x:row>
    <x:row r="14">
      <x:c r="A14" s="5" t="str">
        <x:v>May 2026</x:v>
      </x:c>
      <x:c r="B14" s="5" t="str">
        <x:v>Ambulance crew</x:v>
      </x:c>
      <x:c r="C14" s="5" t="n">
        <x:v>22</x:v>
      </x:c>
      <x:c r="D14" s="8" t="n">
        <x:v>78</x:v>
      </x:c>
      <x:c r="E14" s="7" t="n">
        <x:v>0.78</x:v>
      </x:c>
      <x:c r="F14" s="5" t="str">
        <x:v>Faster release</x:v>
      </x:c>
    </x:row>
    <x:row r="15">
      <x:c r="A15" s="5" t="str">
        <x:v>May 2026</x:v>
      </x:c>
      <x:c r="B15" s="5" t="str">
        <x:v>Receiving nurses</x:v>
      </x:c>
      <x:c r="C15" s="5" t="n">
        <x:v>18</x:v>
      </x:c>
      <x:c r="D15" s="8" t="n">
        <x:v>80</x:v>
      </x:c>
      <x:c r="E15" s="7" t="n">
        <x:v>0.8</x:v>
      </x:c>
      <x:c r="F15" s="5" t="str">
        <x:v>Clear handover fields</x:v>
      </x:c>
    </x:row>
    <x:row r="16">
      <x:c r="A16" s="5" t="str">
        <x:v>May 2026</x:v>
      </x:c>
      <x:c r="B16" s="5" t="str">
        <x:v>Patients/carers</x:v>
      </x:c>
      <x:c r="C16" s="5" t="n">
        <x:v>24</x:v>
      </x:c>
      <x:c r="D16" s="8" t="n">
        <x:v>77</x:v>
      </x:c>
      <x:c r="E16" s="7" t="n">
        <x:v>0.75</x:v>
      </x:c>
      <x:c r="F16" s="5" t="str">
        <x:v>Less uncertainty</x:v>
      </x:c>
    </x:row>
    <x:row r="17">
      <x:c r="A17" s="5" t="str">
        <x:v>Jun 2026</x:v>
      </x:c>
      <x:c r="B17" s="5" t="str">
        <x:v>Ambulance crew</x:v>
      </x:c>
      <x:c r="C17" s="5" t="n">
        <x:v>24</x:v>
      </x:c>
      <x:c r="D17" s="8" t="n">
        <x:v>84</x:v>
      </x:c>
      <x:c r="E17" s="7" t="n">
        <x:v>0.86</x:v>
      </x:c>
      <x:c r="F17" s="5" t="str">
        <x:v>Named receiver works well</x:v>
      </x:c>
    </x:row>
    <x:row r="18">
      <x:c r="A18" s="5" t="str">
        <x:v>Jun 2026</x:v>
      </x:c>
      <x:c r="B18" s="5" t="str">
        <x:v>Receiving nurses</x:v>
      </x:c>
      <x:c r="C18" s="5" t="n">
        <x:v>20</x:v>
      </x:c>
      <x:c r="D18" s="8" t="n">
        <x:v>82</x:v>
      </x:c>
      <x:c r="E18" s="7" t="n">
        <x:v>0.83</x:v>
      </x:c>
      <x:c r="F18" s="5" t="str">
        <x:v>Escalation clearer</x:v>
      </x:c>
    </x:row>
    <x:row r="19">
      <x:c r="A19" s="5" t="str">
        <x:v>Jun 2026</x:v>
      </x:c>
      <x:c r="B19" s="5" t="str">
        <x:v>Patients/carers</x:v>
      </x:c>
      <x:c r="C19" s="5" t="n">
        <x:v>25</x:v>
      </x:c>
      <x:c r="D19" s="8" t="n">
        <x:v>80</x:v>
      </x:c>
      <x:c r="E19" s="7" t="n">
        <x:v>0.79</x:v>
      </x:c>
      <x:c r="F19" s="5" t="str">
        <x:v>Fewer repeated questions</x:v>
      </x:c>
    </x:row>
    <x:row r="20">
      <x:c r="A20" s="5" t="str">
        <x:v>Jul 2026</x:v>
      </x:c>
      <x:c r="B20" s="5" t="str">
        <x:v>Ambulance crew</x:v>
      </x:c>
      <x:c r="C20" s="5" t="n">
        <x:v>21</x:v>
      </x:c>
      <x:c r="D20" s="8" t="n">
        <x:v>86</x:v>
      </x:c>
      <x:c r="E20" s="7" t="n">
        <x:v>0.88</x:v>
      </x:c>
      <x:c r="F20" s="5" t="str">
        <x:v>Reliable process</x:v>
      </x:c>
    </x:row>
    <x:row r="21">
      <x:c r="A21" s="5" t="str">
        <x:v>Jul 2026</x:v>
      </x:c>
      <x:c r="B21" s="5" t="str">
        <x:v>Receiving nurses</x:v>
      </x:c>
      <x:c r="C21" s="5" t="n">
        <x:v>19</x:v>
      </x:c>
      <x:c r="D21" s="8" t="n">
        <x:v>84</x:v>
      </x:c>
      <x:c r="E21" s="7" t="n">
        <x:v>0.85</x:v>
      </x:c>
      <x:c r="F21" s="5" t="str">
        <x:v>Good audit trail</x:v>
      </x:c>
    </x:row>
  </x:sheetData>
  <x:pageMargins left="0.7" right="0.7" top="0.75" bottom="0.75" header="0.3" footer="0.3"/>
  <x:tableParts count="1">
    <x:tablePart xmlns:r="http://schemas.openxmlformats.org/officeDocument/2006/relationships" r:id="R77277399892e47d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9.25" hidden="0" customWidth="1"/>
    <x:col min="2" max="2" width="60.25" hidden="0" customWidth="1"/>
    <x:col min="3" max="3" width="23.75" hidden="0" customWidth="1"/>
  </x:cols>
  <x:sheetData>
    <x:row r="1">
      <x:c r="A1" s="9" t="str">
        <x:v>Field / metric</x:v>
      </x:c>
      <x:c r="B1" s="4" t="str">
        <x:v>Definition</x:v>
      </x:c>
      <x:c r="C1" s="4" t="str">
        <x:v>Evidence status</x:v>
      </x:c>
    </x:row>
    <x:row r="2">
      <x:c r="A2" s="5" t="str">
        <x:v>Median handover time</x:v>
      </x:c>
      <x:c r="B2" s="5" t="str">
        <x:v>Median minutes from ambulance arrival to clinical acceptance.</x:v>
      </x:c>
      <x:c r="C2" s="5" t="str">
        <x:v>Requires data-owner validation</x:v>
      </x:c>
    </x:row>
    <x:row r="3">
      <x:c r="A3" s="5" t="str">
        <x:v>Within 15 Min Target</x:v>
      </x:c>
      <x:c r="B3" s="5" t="str">
        <x:v>Share of arrivals accepted into clinical pathway within 15 minutes.</x:v>
      </x:c>
      <x:c r="C3" s="5" t="str">
        <x:v>Requires data-owner validation</x:v>
      </x:c>
    </x:row>
    <x:row r="4">
      <x:c r="A4" s="5" t="str">
        <x:v>Incomplete Records</x:v>
      </x:c>
      <x:c r="B4" s="5" t="str">
        <x:v>Share of handovers missing one or more required SBAR/minimum dataset fields.</x:v>
      </x:c>
      <x:c r="C4" s="5" t="str">
        <x:v>Requires data-owner validation</x:v>
      </x:c>
    </x:row>
    <x:row r="5">
      <x:c r="A5" s="5" t="str">
        <x:v>Duplicate Questioning</x:v>
      </x:c>
      <x:c r="B5" s="5" t="str">
        <x:v>Share of feedback responses reporting avoidable repeated questioning.</x:v>
      </x:c>
      <x:c r="C5" s="5" t="str">
        <x:v>Requires data-owner validation</x:v>
      </x:c>
    </x:row>
    <x:row r="6">
      <x:c r="A6" s="5" t="str">
        <x:v>Escalations Within Target</x:v>
      </x:c>
      <x:c r="B6" s="5" t="str">
        <x:v>Share of qualifying escalations documented within the expected response time.</x:v>
      </x:c>
      <x:c r="C6" s="5" t="str">
        <x:v>Requires data-owner validation</x:v>
      </x:c>
    </x:row>
    <x:row r="7">
      <x:c r="A7" s="5" t="str">
        <x:v>Satisfaction Score</x:v>
      </x:c>
      <x:c r="B7" s="5" t="str">
        <x:v>Composite 0-100 feedback score across staff and patient/carer groups.</x:v>
      </x:c>
      <x:c r="C7" s="5" t="str">
        <x:v>Requires data-owner validation</x:v>
      </x:c>
    </x:row>
    <x:row r="8">
      <x:c r="A8" s="5" t="str">
        <x:v>Baseline</x:v>
      </x:c>
      <x:c r="B8" s="5" t="str">
        <x:v>January to March 2026 average before implementation.</x:v>
      </x:c>
      <x:c r="C8" s="5" t="str">
        <x:v>Measurement period</x:v>
      </x:c>
    </x:row>
    <x:row r="9">
      <x:c r="A9" s="5" t="str">
        <x:v>Pilot launch</x:v>
      </x:c>
      <x:c r="B9" s="5" t="str">
        <x:v>April 2026 implementation transition month.</x:v>
      </x:c>
      <x:c r="C9" s="5" t="str">
        <x:v>Measurement period</x:v>
      </x:c>
    </x:row>
    <x:row r="10">
      <x:c r="A10" s="5" t="str">
        <x:v>Post</x:v>
      </x:c>
      <x:c r="B10" s="5" t="str">
        <x:v>May to July 2026 average after implementation.</x:v>
      </x:c>
      <x:c r="C10" s="5" t="str">
        <x:v>Measurement period</x:v>
      </x:c>
    </x:row>
    <x:row r="11">
      <x:c r="A11" s="5" t="str">
        <x:v>Consulting company</x:v>
      </x:c>
      <x:c r="B11" s="5" t="str">
        <x:v>CR Allied Services Limited.</x:v>
      </x:c>
      <x:c r="C11" s="5" t="str">
        <x:v>Project identity</x:v>
      </x:c>
    </x:row>
    <x:row r="12">
      <x:c r="A12" s="5" t="str">
        <x:v>Hospital</x:v>
      </x:c>
      <x:c r="B12" s="5" t="str">
        <x:v>Ambrose Alli University Health Center.</x:v>
      </x:c>
      <x:c r="C12" s="5" t="str">
        <x:v>Client setting</x:v>
      </x:c>
    </x:row>
    <x:row r="13">
      <x:c r="A13" s="5" t="str">
        <x:v>Lead consultant</x:v>
      </x:c>
      <x:c r="B13" s="5" t="str">
        <x:v>Edward Osikem Okhumaile.</x:v>
      </x:c>
      <x:c r="C13" s="5" t="str">
        <x:v>Project identity</x:v>
      </x:c>
    </x:row>
  </x:sheetData>
  <x:pageMargins left="0.7" right="0.7" top="0.75" bottom="0.75" header="0.3" footer="0.3"/>
</x:worksheet>
</file>